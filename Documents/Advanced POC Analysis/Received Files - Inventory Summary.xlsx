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ck.kudrycz\Documents\Projects\World Acceptance\ApplicationUnderstanding\Deliverables\"/>
    </mc:Choice>
  </mc:AlternateContent>
  <bookViews>
    <workbookView xWindow="0" yWindow="0" windowWidth="8413" windowHeight="1307"/>
  </bookViews>
  <sheets>
    <sheet name="inventory" sheetId="2" r:id="rId1"/>
  </sheets>
  <calcPr calcId="162913"/>
</workbook>
</file>

<file path=xl/calcChain.xml><?xml version="1.0" encoding="utf-8"?>
<calcChain xmlns="http://schemas.openxmlformats.org/spreadsheetml/2006/main">
  <c r="B63" i="2" l="1"/>
  <c r="C63" i="2"/>
  <c r="B57" i="2"/>
  <c r="C57" i="2"/>
  <c r="B28" i="2"/>
  <c r="C28" i="2"/>
  <c r="B22" i="2"/>
  <c r="C22" i="2"/>
  <c r="B127" i="2"/>
  <c r="C127" i="2"/>
  <c r="B121" i="2"/>
  <c r="C121" i="2"/>
  <c r="B113" i="2"/>
  <c r="C113" i="2"/>
  <c r="B107" i="2"/>
  <c r="C107" i="2"/>
  <c r="B101" i="2"/>
  <c r="C101" i="2"/>
  <c r="B93" i="2"/>
  <c r="C93" i="2"/>
  <c r="B88" i="2"/>
  <c r="C88" i="2"/>
  <c r="B82" i="2"/>
  <c r="C82" i="2"/>
  <c r="B76" i="2"/>
  <c r="C76" i="2"/>
  <c r="B70" i="2"/>
  <c r="C70" i="2"/>
  <c r="B45" i="2"/>
  <c r="C45" i="2"/>
  <c r="B51" i="2"/>
  <c r="C51" i="2"/>
  <c r="B39" i="2"/>
  <c r="C39" i="2"/>
  <c r="B33" i="2"/>
  <c r="C33" i="2"/>
  <c r="B16" i="2"/>
  <c r="C16" i="2"/>
  <c r="B10" i="2"/>
  <c r="C10" i="2"/>
  <c r="C129" i="2" l="1"/>
</calcChain>
</file>

<file path=xl/sharedStrings.xml><?xml version="1.0" encoding="utf-8"?>
<sst xmlns="http://schemas.openxmlformats.org/spreadsheetml/2006/main" count="126" uniqueCount="32">
  <si>
    <t>AP</t>
  </si>
  <si>
    <t>Files</t>
  </si>
  <si>
    <t>Lines</t>
  </si>
  <si>
    <t>Cobol Copybook</t>
  </si>
  <si>
    <t>Cobol Program</t>
  </si>
  <si>
    <t>Total:</t>
  </si>
  <si>
    <t>BC</t>
  </si>
  <si>
    <t>CL</t>
  </si>
  <si>
    <t>CV</t>
  </si>
  <si>
    <t>EX</t>
  </si>
  <si>
    <t>FP</t>
  </si>
  <si>
    <t>FX</t>
  </si>
  <si>
    <t>GB</t>
  </si>
  <si>
    <t>GL</t>
  </si>
  <si>
    <t>LA</t>
  </si>
  <si>
    <t>LP</t>
  </si>
  <si>
    <t>Shell Script</t>
  </si>
  <si>
    <t>LS</t>
  </si>
  <si>
    <t>MN</t>
  </si>
  <si>
    <t>NP</t>
  </si>
  <si>
    <t>NW</t>
  </si>
  <si>
    <t>SH</t>
  </si>
  <si>
    <t>C Program</t>
  </si>
  <si>
    <t>Cron</t>
  </si>
  <si>
    <t>SP</t>
  </si>
  <si>
    <t>UP</t>
  </si>
  <si>
    <t>UT</t>
  </si>
  <si>
    <t>Text File</t>
  </si>
  <si>
    <t>WI</t>
  </si>
  <si>
    <t>Grand total:</t>
  </si>
  <si>
    <t>Inventory Report: World Acceptance Corporation</t>
  </si>
  <si>
    <t>Received Files - Inventory Summary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</si>
</sst>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ck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3" fontId="0" fillId="0" borderId="0" xfId="0" applyNumberFormat="1" applyAlignment="1">
      <alignment wrapText="1"/>
    </xf>
    <xf numFmtId="0" fontId="19" fillId="0" borderId="0" xfId="0" applyFont="1" applyAlignment="1">
      <alignment wrapText="1"/>
    </xf>
    <xf numFmtId="0" fontId="0" fillId="0" borderId="10" xfId="0" applyBorder="1"/>
    <xf numFmtId="3" fontId="0" fillId="0" borderId="10" xfId="0" applyNumberFormat="1" applyBorder="1" applyAlignment="1">
      <alignment wrapText="1"/>
    </xf>
    <xf numFmtId="0" fontId="19" fillId="0" borderId="0" xfId="0" applyFont="1" applyAlignment="1">
      <alignment horizontal="left" vertical="center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6"/>
  <sheetViews>
    <sheetView showGridLines="0" tabSelected="1" zoomScaleNormal="100" workbookViewId="0">
      <selection activeCell="A6" sqref="A6:C129"/>
    </sheetView>
  </sheetViews>
  <sheetFormatPr defaultRowHeight="14.35" x14ac:dyDescent="0.5"/>
  <cols>
    <col min="1" max="1" width="35.76171875" style="9" bestFit="1" customWidth="1"/>
    <col min="2" max="2" width="8.703125" style="9" customWidth="1"/>
    <col min="3" max="3" width="15.17578125" style="9" customWidth="1"/>
  </cols>
  <sheetData>
    <row r="1" spans="1:3" ht="23.35" x14ac:dyDescent="0.8">
      <c r="A1" s="1" t="s">
        <v>31</v>
      </c>
    </row>
    <row r="3" spans="1:3" ht="35.35" customHeight="1" x14ac:dyDescent="0.6">
      <c r="A3" s="5" t="s">
        <v>30</v>
      </c>
      <c r="B3" s="5"/>
      <c r="C3" s="5"/>
    </row>
    <row r="5" spans="1:3" ht="17.7" x14ac:dyDescent="0.6">
      <c r="A5" s="5"/>
      <c r="B5" s="5"/>
      <c r="C5" s="5"/>
    </row>
    <row r="6" spans="1:3" ht="14.35" customHeight="1" x14ac:dyDescent="0.6">
      <c r="A6" s="5" t="s">
        <v>0</v>
      </c>
      <c r="B6" s="5"/>
      <c r="C6" s="5"/>
    </row>
    <row r="7" spans="1:3" x14ac:dyDescent="0.5">
      <c r="A7" s="3"/>
      <c r="B7" s="3" t="s">
        <v>1</v>
      </c>
      <c r="C7" s="3" t="s">
        <v>2</v>
      </c>
    </row>
    <row r="8" spans="1:3" x14ac:dyDescent="0.5">
      <c r="A8" s="2" t="s">
        <v>3</v>
      </c>
      <c r="B8" s="2">
        <v>479</v>
      </c>
      <c r="C8" s="4">
        <v>52240</v>
      </c>
    </row>
    <row r="9" spans="1:3" x14ac:dyDescent="0.5">
      <c r="A9" s="2" t="s">
        <v>4</v>
      </c>
      <c r="B9" s="2">
        <v>86</v>
      </c>
      <c r="C9" s="4">
        <v>76712</v>
      </c>
    </row>
    <row r="10" spans="1:3" x14ac:dyDescent="0.5">
      <c r="A10" s="2" t="s">
        <v>5</v>
      </c>
      <c r="B10" s="2">
        <f>SUM(B8:B9)</f>
        <v>565</v>
      </c>
      <c r="C10" s="4">
        <f>SUM(C8:C9)</f>
        <v>128952</v>
      </c>
    </row>
    <row r="11" spans="1:3" s="9" customFormat="1" x14ac:dyDescent="0.5">
      <c r="A11" s="2"/>
      <c r="B11" s="2"/>
      <c r="C11" s="4"/>
    </row>
    <row r="12" spans="1:3" ht="14.35" customHeight="1" x14ac:dyDescent="0.6">
      <c r="A12" s="5" t="s">
        <v>6</v>
      </c>
      <c r="B12" s="5"/>
      <c r="C12" s="5"/>
    </row>
    <row r="13" spans="1:3" x14ac:dyDescent="0.5">
      <c r="A13" s="3"/>
      <c r="B13" s="3" t="s">
        <v>1</v>
      </c>
      <c r="C13" s="3" t="s">
        <v>2</v>
      </c>
    </row>
    <row r="14" spans="1:3" x14ac:dyDescent="0.5">
      <c r="A14" s="2" t="s">
        <v>3</v>
      </c>
      <c r="B14" s="2">
        <v>48</v>
      </c>
      <c r="C14" s="4">
        <v>3737</v>
      </c>
    </row>
    <row r="15" spans="1:3" x14ac:dyDescent="0.5">
      <c r="A15" s="2" t="s">
        <v>4</v>
      </c>
      <c r="B15" s="2">
        <v>5</v>
      </c>
      <c r="C15" s="4">
        <v>3657</v>
      </c>
    </row>
    <row r="16" spans="1:3" x14ac:dyDescent="0.5">
      <c r="A16" s="2" t="s">
        <v>5</v>
      </c>
      <c r="B16" s="2">
        <f>SUM(B14:B15)</f>
        <v>53</v>
      </c>
      <c r="C16" s="4">
        <f>SUM(C14:C15)</f>
        <v>7394</v>
      </c>
    </row>
    <row r="17" spans="1:3" s="9" customFormat="1" x14ac:dyDescent="0.5">
      <c r="A17" s="2"/>
      <c r="B17" s="2"/>
      <c r="C17" s="4"/>
    </row>
    <row r="18" spans="1:3" ht="14.35" customHeight="1" x14ac:dyDescent="0.6">
      <c r="A18" s="5" t="s">
        <v>7</v>
      </c>
      <c r="B18" s="5"/>
      <c r="C18" s="5"/>
    </row>
    <row r="19" spans="1:3" x14ac:dyDescent="0.5">
      <c r="A19" s="3"/>
      <c r="B19" s="3" t="s">
        <v>1</v>
      </c>
      <c r="C19" s="3" t="s">
        <v>2</v>
      </c>
    </row>
    <row r="20" spans="1:3" x14ac:dyDescent="0.5">
      <c r="A20" s="2" t="s">
        <v>3</v>
      </c>
      <c r="B20" s="2">
        <v>38</v>
      </c>
      <c r="C20" s="4">
        <v>2944</v>
      </c>
    </row>
    <row r="21" spans="1:3" x14ac:dyDescent="0.5">
      <c r="A21" s="2" t="s">
        <v>4</v>
      </c>
      <c r="B21" s="2">
        <v>82</v>
      </c>
      <c r="C21" s="4">
        <v>46506</v>
      </c>
    </row>
    <row r="22" spans="1:3" x14ac:dyDescent="0.5">
      <c r="A22" s="2" t="s">
        <v>5</v>
      </c>
      <c r="B22" s="2">
        <f>SUM(B20:B21)</f>
        <v>120</v>
      </c>
      <c r="C22" s="4">
        <f>SUM(C20:C21)</f>
        <v>49450</v>
      </c>
    </row>
    <row r="23" spans="1:3" s="9" customFormat="1" x14ac:dyDescent="0.5">
      <c r="A23" s="2"/>
      <c r="B23" s="2"/>
      <c r="C23" s="4"/>
    </row>
    <row r="24" spans="1:3" ht="14.35" customHeight="1" x14ac:dyDescent="0.6">
      <c r="A24" s="5" t="s">
        <v>8</v>
      </c>
      <c r="B24" s="5"/>
      <c r="C24" s="5"/>
    </row>
    <row r="25" spans="1:3" x14ac:dyDescent="0.5">
      <c r="A25" s="3"/>
      <c r="B25" s="3" t="s">
        <v>1</v>
      </c>
      <c r="C25" s="3" t="s">
        <v>2</v>
      </c>
    </row>
    <row r="26" spans="1:3" x14ac:dyDescent="0.5">
      <c r="A26" s="2" t="s">
        <v>3</v>
      </c>
      <c r="B26" s="2">
        <v>12</v>
      </c>
      <c r="C26" s="4">
        <v>1758</v>
      </c>
    </row>
    <row r="27" spans="1:3" x14ac:dyDescent="0.5">
      <c r="A27" s="2" t="s">
        <v>4</v>
      </c>
      <c r="B27" s="2">
        <v>1</v>
      </c>
      <c r="C27" s="2">
        <v>750</v>
      </c>
    </row>
    <row r="28" spans="1:3" x14ac:dyDescent="0.5">
      <c r="A28" s="2" t="s">
        <v>5</v>
      </c>
      <c r="B28" s="2">
        <f>SUM(B26:B27)</f>
        <v>13</v>
      </c>
      <c r="C28" s="4">
        <f>SUM(C26:C27)</f>
        <v>2508</v>
      </c>
    </row>
    <row r="29" spans="1:3" s="9" customFormat="1" x14ac:dyDescent="0.5">
      <c r="A29" s="2"/>
      <c r="B29" s="2"/>
      <c r="C29" s="4"/>
    </row>
    <row r="30" spans="1:3" ht="14.35" customHeight="1" x14ac:dyDescent="0.6">
      <c r="A30" s="5" t="s">
        <v>9</v>
      </c>
      <c r="B30" s="5"/>
      <c r="C30" s="5"/>
    </row>
    <row r="31" spans="1:3" x14ac:dyDescent="0.5">
      <c r="A31" s="3"/>
      <c r="B31" s="3" t="s">
        <v>1</v>
      </c>
      <c r="C31" s="3" t="s">
        <v>2</v>
      </c>
    </row>
    <row r="32" spans="1:3" x14ac:dyDescent="0.5">
      <c r="A32" s="2" t="s">
        <v>3</v>
      </c>
      <c r="B32" s="2">
        <v>200</v>
      </c>
      <c r="C32" s="4">
        <v>10097</v>
      </c>
    </row>
    <row r="33" spans="1:3" x14ac:dyDescent="0.5">
      <c r="A33" s="2" t="s">
        <v>5</v>
      </c>
      <c r="B33" s="2">
        <f>SUM(B32)</f>
        <v>200</v>
      </c>
      <c r="C33" s="4">
        <f>SUM(C32)</f>
        <v>10097</v>
      </c>
    </row>
    <row r="34" spans="1:3" s="9" customFormat="1" x14ac:dyDescent="0.5">
      <c r="A34" s="2"/>
      <c r="B34" s="2"/>
      <c r="C34" s="4"/>
    </row>
    <row r="35" spans="1:3" ht="14.35" customHeight="1" x14ac:dyDescent="0.6">
      <c r="A35" s="5" t="s">
        <v>10</v>
      </c>
      <c r="B35" s="5"/>
      <c r="C35" s="5"/>
    </row>
    <row r="36" spans="1:3" x14ac:dyDescent="0.5">
      <c r="A36" s="3"/>
      <c r="B36" s="3" t="s">
        <v>1</v>
      </c>
      <c r="C36" s="3" t="s">
        <v>2</v>
      </c>
    </row>
    <row r="37" spans="1:3" x14ac:dyDescent="0.5">
      <c r="A37" s="2" t="s">
        <v>3</v>
      </c>
      <c r="B37" s="2">
        <v>73</v>
      </c>
      <c r="C37" s="4">
        <v>26931</v>
      </c>
    </row>
    <row r="38" spans="1:3" x14ac:dyDescent="0.5">
      <c r="A38" s="2" t="s">
        <v>4</v>
      </c>
      <c r="B38" s="2">
        <v>19</v>
      </c>
      <c r="C38" s="4">
        <v>17656</v>
      </c>
    </row>
    <row r="39" spans="1:3" x14ac:dyDescent="0.5">
      <c r="A39" s="2" t="s">
        <v>5</v>
      </c>
      <c r="B39" s="2">
        <f>SUM(B37:B38)</f>
        <v>92</v>
      </c>
      <c r="C39" s="4">
        <f>SUM(C37:C38)</f>
        <v>44587</v>
      </c>
    </row>
    <row r="40" spans="1:3" s="9" customFormat="1" x14ac:dyDescent="0.5">
      <c r="A40" s="2"/>
      <c r="B40" s="2"/>
      <c r="C40" s="4"/>
    </row>
    <row r="41" spans="1:3" ht="14.35" customHeight="1" x14ac:dyDescent="0.6">
      <c r="A41" s="5" t="s">
        <v>11</v>
      </c>
      <c r="B41" s="5"/>
      <c r="C41" s="5"/>
    </row>
    <row r="42" spans="1:3" x14ac:dyDescent="0.5">
      <c r="A42" s="3"/>
      <c r="B42" s="3" t="s">
        <v>1</v>
      </c>
      <c r="C42" s="3" t="s">
        <v>2</v>
      </c>
    </row>
    <row r="43" spans="1:3" x14ac:dyDescent="0.5">
      <c r="A43" s="2" t="s">
        <v>3</v>
      </c>
      <c r="B43" s="2">
        <v>268</v>
      </c>
      <c r="C43" s="4">
        <v>19528</v>
      </c>
    </row>
    <row r="44" spans="1:3" x14ac:dyDescent="0.5">
      <c r="A44" s="2" t="s">
        <v>4</v>
      </c>
      <c r="B44" s="2">
        <v>54</v>
      </c>
      <c r="C44" s="4">
        <v>35814</v>
      </c>
    </row>
    <row r="45" spans="1:3" x14ac:dyDescent="0.5">
      <c r="A45" s="2" t="s">
        <v>5</v>
      </c>
      <c r="B45" s="2">
        <f>SUM(B43:B44)</f>
        <v>322</v>
      </c>
      <c r="C45" s="4">
        <f>SUM(C43:C44)</f>
        <v>55342</v>
      </c>
    </row>
    <row r="46" spans="1:3" s="9" customFormat="1" x14ac:dyDescent="0.5">
      <c r="A46" s="2"/>
      <c r="B46" s="2"/>
      <c r="C46" s="4"/>
    </row>
    <row r="47" spans="1:3" ht="14.35" customHeight="1" x14ac:dyDescent="0.6">
      <c r="A47" s="5" t="s">
        <v>12</v>
      </c>
      <c r="B47" s="5"/>
      <c r="C47" s="5"/>
    </row>
    <row r="48" spans="1:3" x14ac:dyDescent="0.5">
      <c r="A48" s="3"/>
      <c r="B48" s="3" t="s">
        <v>1</v>
      </c>
      <c r="C48" s="3" t="s">
        <v>2</v>
      </c>
    </row>
    <row r="49" spans="1:3" x14ac:dyDescent="0.5">
      <c r="A49" s="2" t="s">
        <v>3</v>
      </c>
      <c r="B49" s="2">
        <v>493</v>
      </c>
      <c r="C49" s="4">
        <v>67486</v>
      </c>
    </row>
    <row r="50" spans="1:3" x14ac:dyDescent="0.5">
      <c r="A50" s="2" t="s">
        <v>4</v>
      </c>
      <c r="B50" s="2">
        <v>61</v>
      </c>
      <c r="C50" s="4">
        <v>39495</v>
      </c>
    </row>
    <row r="51" spans="1:3" x14ac:dyDescent="0.5">
      <c r="A51" s="2" t="s">
        <v>5</v>
      </c>
      <c r="B51" s="2">
        <f>SUM(B49:B50)</f>
        <v>554</v>
      </c>
      <c r="C51" s="4">
        <f>SUM(C49:C50)</f>
        <v>106981</v>
      </c>
    </row>
    <row r="52" spans="1:3" s="9" customFormat="1" x14ac:dyDescent="0.5">
      <c r="A52" s="2"/>
      <c r="B52" s="2"/>
      <c r="C52" s="4"/>
    </row>
    <row r="53" spans="1:3" ht="14.35" customHeight="1" x14ac:dyDescent="0.6">
      <c r="A53" s="5" t="s">
        <v>13</v>
      </c>
      <c r="B53" s="5"/>
      <c r="C53" s="5"/>
    </row>
    <row r="54" spans="1:3" x14ac:dyDescent="0.5">
      <c r="A54" s="3"/>
      <c r="B54" s="3" t="s">
        <v>1</v>
      </c>
      <c r="C54" s="3" t="s">
        <v>2</v>
      </c>
    </row>
    <row r="55" spans="1:3" x14ac:dyDescent="0.5">
      <c r="A55" s="2" t="s">
        <v>3</v>
      </c>
      <c r="B55" s="2">
        <v>434</v>
      </c>
      <c r="C55" s="4">
        <v>38620</v>
      </c>
    </row>
    <row r="56" spans="1:3" x14ac:dyDescent="0.5">
      <c r="A56" s="2" t="s">
        <v>4</v>
      </c>
      <c r="B56" s="2">
        <v>79</v>
      </c>
      <c r="C56" s="4">
        <v>63321</v>
      </c>
    </row>
    <row r="57" spans="1:3" x14ac:dyDescent="0.5">
      <c r="A57" s="2" t="s">
        <v>5</v>
      </c>
      <c r="B57" s="2">
        <f>SUM(B55:B56)</f>
        <v>513</v>
      </c>
      <c r="C57" s="4">
        <f>SUM(C55:C56)</f>
        <v>101941</v>
      </c>
    </row>
    <row r="58" spans="1:3" ht="14.35" customHeight="1" x14ac:dyDescent="0.6">
      <c r="A58" s="5" t="s">
        <v>14</v>
      </c>
      <c r="B58" s="5"/>
      <c r="C58" s="5"/>
    </row>
    <row r="59" spans="1:3" ht="14.35" customHeight="1" x14ac:dyDescent="0.6">
      <c r="A59" s="5"/>
      <c r="B59" s="5"/>
      <c r="C59" s="5"/>
    </row>
    <row r="60" spans="1:3" x14ac:dyDescent="0.5">
      <c r="A60" s="3"/>
      <c r="B60" s="3" t="s">
        <v>1</v>
      </c>
      <c r="C60" s="3" t="s">
        <v>2</v>
      </c>
    </row>
    <row r="61" spans="1:3" x14ac:dyDescent="0.5">
      <c r="A61" s="2" t="s">
        <v>3</v>
      </c>
      <c r="B61" s="2">
        <v>135</v>
      </c>
      <c r="C61" s="4">
        <v>27699</v>
      </c>
    </row>
    <row r="62" spans="1:3" x14ac:dyDescent="0.5">
      <c r="A62" s="2" t="s">
        <v>4</v>
      </c>
      <c r="B62" s="2">
        <v>22</v>
      </c>
      <c r="C62" s="4">
        <v>48042</v>
      </c>
    </row>
    <row r="63" spans="1:3" x14ac:dyDescent="0.5">
      <c r="A63" s="2" t="s">
        <v>5</v>
      </c>
      <c r="B63" s="2">
        <f>SUM(B61:B62)</f>
        <v>157</v>
      </c>
      <c r="C63" s="4">
        <f>SUM(C61:C62)</f>
        <v>75741</v>
      </c>
    </row>
    <row r="64" spans="1:3" s="9" customFormat="1" x14ac:dyDescent="0.5">
      <c r="A64" s="2"/>
      <c r="B64" s="2"/>
      <c r="C64" s="4"/>
    </row>
    <row r="65" spans="1:3" ht="14.35" customHeight="1" x14ac:dyDescent="0.6">
      <c r="A65" s="5" t="s">
        <v>15</v>
      </c>
      <c r="B65" s="5"/>
      <c r="C65" s="5"/>
    </row>
    <row r="66" spans="1:3" x14ac:dyDescent="0.5">
      <c r="A66" s="3"/>
      <c r="B66" s="3" t="s">
        <v>1</v>
      </c>
      <c r="C66" s="3" t="s">
        <v>2</v>
      </c>
    </row>
    <row r="67" spans="1:3" x14ac:dyDescent="0.5">
      <c r="A67" s="2" t="s">
        <v>3</v>
      </c>
      <c r="B67" s="4">
        <v>2931</v>
      </c>
      <c r="C67" s="4">
        <v>420916</v>
      </c>
    </row>
    <row r="68" spans="1:3" x14ac:dyDescent="0.5">
      <c r="A68" s="2" t="s">
        <v>4</v>
      </c>
      <c r="B68" s="2">
        <v>493</v>
      </c>
      <c r="C68" s="4">
        <v>940788</v>
      </c>
    </row>
    <row r="69" spans="1:3" x14ac:dyDescent="0.5">
      <c r="A69" s="2" t="s">
        <v>16</v>
      </c>
      <c r="B69" s="2">
        <v>2</v>
      </c>
      <c r="C69" s="2">
        <v>29</v>
      </c>
    </row>
    <row r="70" spans="1:3" x14ac:dyDescent="0.5">
      <c r="A70" s="2" t="s">
        <v>5</v>
      </c>
      <c r="B70" s="4">
        <f>SUM(B67:B69)</f>
        <v>3426</v>
      </c>
      <c r="C70" s="4">
        <f>SUM(C67:C69)</f>
        <v>1361733</v>
      </c>
    </row>
    <row r="71" spans="1:3" s="9" customFormat="1" x14ac:dyDescent="0.5">
      <c r="A71" s="2"/>
      <c r="B71" s="4"/>
      <c r="C71" s="4"/>
    </row>
    <row r="72" spans="1:3" ht="14.35" customHeight="1" x14ac:dyDescent="0.6">
      <c r="A72" s="5" t="s">
        <v>17</v>
      </c>
      <c r="B72" s="5"/>
      <c r="C72" s="5"/>
    </row>
    <row r="73" spans="1:3" x14ac:dyDescent="0.5">
      <c r="A73" s="3"/>
      <c r="B73" s="3" t="s">
        <v>1</v>
      </c>
      <c r="C73" s="3" t="s">
        <v>2</v>
      </c>
    </row>
    <row r="74" spans="1:3" x14ac:dyDescent="0.5">
      <c r="A74" s="2" t="s">
        <v>3</v>
      </c>
      <c r="B74" s="2">
        <v>393</v>
      </c>
      <c r="C74" s="4">
        <v>35392</v>
      </c>
    </row>
    <row r="75" spans="1:3" x14ac:dyDescent="0.5">
      <c r="A75" s="2" t="s">
        <v>4</v>
      </c>
      <c r="B75" s="2">
        <v>82</v>
      </c>
      <c r="C75" s="4">
        <v>99262</v>
      </c>
    </row>
    <row r="76" spans="1:3" x14ac:dyDescent="0.5">
      <c r="A76" s="2" t="s">
        <v>5</v>
      </c>
      <c r="B76" s="2">
        <f>SUM(B74:B75)</f>
        <v>475</v>
      </c>
      <c r="C76" s="4">
        <f>SUM(C74:C75)</f>
        <v>134654</v>
      </c>
    </row>
    <row r="77" spans="1:3" s="9" customFormat="1" x14ac:dyDescent="0.5">
      <c r="A77" s="2"/>
      <c r="B77" s="2"/>
      <c r="C77" s="4"/>
    </row>
    <row r="78" spans="1:3" ht="14.35" customHeight="1" x14ac:dyDescent="0.6">
      <c r="A78" s="5" t="s">
        <v>18</v>
      </c>
      <c r="B78" s="5"/>
      <c r="C78" s="5"/>
    </row>
    <row r="79" spans="1:3" x14ac:dyDescent="0.5">
      <c r="A79" s="3"/>
      <c r="B79" s="3" t="s">
        <v>1</v>
      </c>
      <c r="C79" s="3" t="s">
        <v>2</v>
      </c>
    </row>
    <row r="80" spans="1:3" x14ac:dyDescent="0.5">
      <c r="A80" s="2" t="s">
        <v>3</v>
      </c>
      <c r="B80" s="4">
        <v>1297</v>
      </c>
      <c r="C80" s="4">
        <v>332578</v>
      </c>
    </row>
    <row r="81" spans="1:3" x14ac:dyDescent="0.5">
      <c r="A81" s="2" t="s">
        <v>4</v>
      </c>
      <c r="B81" s="2">
        <v>254</v>
      </c>
      <c r="C81" s="4">
        <v>286287</v>
      </c>
    </row>
    <row r="82" spans="1:3" x14ac:dyDescent="0.5">
      <c r="A82" s="2" t="s">
        <v>5</v>
      </c>
      <c r="B82" s="4">
        <f>SUM(B80:B81)</f>
        <v>1551</v>
      </c>
      <c r="C82" s="4">
        <f>SUM(C80:C81)</f>
        <v>618865</v>
      </c>
    </row>
    <row r="83" spans="1:3" s="9" customFormat="1" x14ac:dyDescent="0.5">
      <c r="A83" s="2"/>
      <c r="B83" s="4"/>
      <c r="C83" s="4"/>
    </row>
    <row r="84" spans="1:3" ht="14.35" customHeight="1" x14ac:dyDescent="0.6">
      <c r="A84" s="5" t="s">
        <v>19</v>
      </c>
      <c r="B84" s="5"/>
      <c r="C84" s="5"/>
    </row>
    <row r="85" spans="1:3" x14ac:dyDescent="0.5">
      <c r="A85" s="3"/>
      <c r="B85" s="3" t="s">
        <v>1</v>
      </c>
      <c r="C85" s="3" t="s">
        <v>2</v>
      </c>
    </row>
    <row r="86" spans="1:3" x14ac:dyDescent="0.5">
      <c r="A86" s="2" t="s">
        <v>3</v>
      </c>
      <c r="B86" s="2">
        <v>508</v>
      </c>
      <c r="C86" s="4">
        <v>55453</v>
      </c>
    </row>
    <row r="87" spans="1:3" x14ac:dyDescent="0.5">
      <c r="A87" s="2" t="s">
        <v>4</v>
      </c>
      <c r="B87" s="2">
        <v>109</v>
      </c>
      <c r="C87" s="4">
        <v>103582</v>
      </c>
    </row>
    <row r="88" spans="1:3" x14ac:dyDescent="0.5">
      <c r="A88" s="2" t="s">
        <v>5</v>
      </c>
      <c r="B88" s="2">
        <f>SUM(B86:B87)</f>
        <v>617</v>
      </c>
      <c r="C88" s="4">
        <f>SUM(C86:C87)</f>
        <v>159035</v>
      </c>
    </row>
    <row r="89" spans="1:3" s="9" customFormat="1" x14ac:dyDescent="0.5">
      <c r="A89" s="2"/>
      <c r="B89" s="2"/>
      <c r="C89" s="4"/>
    </row>
    <row r="90" spans="1:3" ht="14.35" customHeight="1" x14ac:dyDescent="0.6">
      <c r="A90" s="5" t="s">
        <v>20</v>
      </c>
      <c r="B90" s="5"/>
      <c r="C90" s="5"/>
    </row>
    <row r="91" spans="1:3" x14ac:dyDescent="0.5">
      <c r="A91" s="3"/>
      <c r="B91" s="3" t="s">
        <v>1</v>
      </c>
      <c r="C91" s="3" t="s">
        <v>2</v>
      </c>
    </row>
    <row r="92" spans="1:3" x14ac:dyDescent="0.5">
      <c r="A92" s="2" t="s">
        <v>3</v>
      </c>
      <c r="B92" s="2">
        <v>6</v>
      </c>
      <c r="C92" s="2">
        <v>125</v>
      </c>
    </row>
    <row r="93" spans="1:3" x14ac:dyDescent="0.5">
      <c r="A93" s="2" t="s">
        <v>5</v>
      </c>
      <c r="B93" s="2">
        <f>SUM(B92)</f>
        <v>6</v>
      </c>
      <c r="C93" s="2">
        <f>SUM(C92)</f>
        <v>125</v>
      </c>
    </row>
    <row r="94" spans="1:3" s="9" customFormat="1" x14ac:dyDescent="0.5">
      <c r="A94" s="2"/>
      <c r="B94" s="2"/>
      <c r="C94" s="2"/>
    </row>
    <row r="95" spans="1:3" ht="14.35" customHeight="1" x14ac:dyDescent="0.6">
      <c r="A95" s="5" t="s">
        <v>21</v>
      </c>
      <c r="B95" s="5"/>
      <c r="C95" s="5"/>
    </row>
    <row r="96" spans="1:3" x14ac:dyDescent="0.5">
      <c r="A96" s="3"/>
      <c r="B96" s="3" t="s">
        <v>1</v>
      </c>
      <c r="C96" s="3" t="s">
        <v>2</v>
      </c>
    </row>
    <row r="97" spans="1:3" x14ac:dyDescent="0.5">
      <c r="A97" s="2" t="s">
        <v>22</v>
      </c>
      <c r="B97" s="2">
        <v>1</v>
      </c>
      <c r="C97" s="2">
        <v>24</v>
      </c>
    </row>
    <row r="98" spans="1:3" x14ac:dyDescent="0.5">
      <c r="A98" s="2" t="s">
        <v>4</v>
      </c>
      <c r="B98" s="2">
        <v>1</v>
      </c>
      <c r="C98" s="2">
        <v>402</v>
      </c>
    </row>
    <row r="99" spans="1:3" x14ac:dyDescent="0.5">
      <c r="A99" s="2" t="s">
        <v>23</v>
      </c>
      <c r="B99" s="2">
        <v>4</v>
      </c>
      <c r="C99" s="2">
        <v>70</v>
      </c>
    </row>
    <row r="100" spans="1:3" x14ac:dyDescent="0.5">
      <c r="A100" s="2" t="s">
        <v>16</v>
      </c>
      <c r="B100" s="2">
        <v>69</v>
      </c>
      <c r="C100" s="4">
        <v>3770</v>
      </c>
    </row>
    <row r="101" spans="1:3" x14ac:dyDescent="0.5">
      <c r="A101" s="2" t="s">
        <v>5</v>
      </c>
      <c r="B101" s="2">
        <f>SUM(B97:B100)</f>
        <v>75</v>
      </c>
      <c r="C101" s="4">
        <f>SUM(C97:C100)</f>
        <v>4266</v>
      </c>
    </row>
    <row r="102" spans="1:3" s="9" customFormat="1" x14ac:dyDescent="0.5">
      <c r="A102" s="2"/>
      <c r="B102" s="2"/>
      <c r="C102" s="4"/>
    </row>
    <row r="103" spans="1:3" ht="14.35" customHeight="1" x14ac:dyDescent="0.6">
      <c r="A103" s="5" t="s">
        <v>24</v>
      </c>
      <c r="B103" s="5"/>
      <c r="C103" s="5"/>
    </row>
    <row r="104" spans="1:3" x14ac:dyDescent="0.5">
      <c r="A104" s="3"/>
      <c r="B104" s="3" t="s">
        <v>1</v>
      </c>
      <c r="C104" s="3" t="s">
        <v>2</v>
      </c>
    </row>
    <row r="105" spans="1:3" x14ac:dyDescent="0.5">
      <c r="A105" s="2" t="s">
        <v>3</v>
      </c>
      <c r="B105" s="4">
        <v>2120</v>
      </c>
      <c r="C105" s="4">
        <v>224120</v>
      </c>
    </row>
    <row r="106" spans="1:3" x14ac:dyDescent="0.5">
      <c r="A106" s="2" t="s">
        <v>4</v>
      </c>
      <c r="B106" s="2">
        <v>457</v>
      </c>
      <c r="C106" s="4">
        <v>558238</v>
      </c>
    </row>
    <row r="107" spans="1:3" x14ac:dyDescent="0.5">
      <c r="A107" s="2" t="s">
        <v>5</v>
      </c>
      <c r="B107" s="4">
        <f>SUM(B105:B106)</f>
        <v>2577</v>
      </c>
      <c r="C107" s="4">
        <f>SUM(C105:C106)</f>
        <v>782358</v>
      </c>
    </row>
    <row r="108" spans="1:3" s="9" customFormat="1" x14ac:dyDescent="0.5">
      <c r="A108" s="2"/>
      <c r="B108" s="4"/>
      <c r="C108" s="4"/>
    </row>
    <row r="109" spans="1:3" ht="14.35" customHeight="1" x14ac:dyDescent="0.6">
      <c r="A109" s="5" t="s">
        <v>25</v>
      </c>
      <c r="B109" s="5"/>
      <c r="C109" s="5"/>
    </row>
    <row r="110" spans="1:3" x14ac:dyDescent="0.5">
      <c r="A110" s="3"/>
      <c r="B110" s="3" t="s">
        <v>1</v>
      </c>
      <c r="C110" s="3" t="s">
        <v>2</v>
      </c>
    </row>
    <row r="111" spans="1:3" x14ac:dyDescent="0.5">
      <c r="A111" s="2" t="s">
        <v>3</v>
      </c>
      <c r="B111" s="2">
        <v>49</v>
      </c>
      <c r="C111" s="4">
        <v>15238</v>
      </c>
    </row>
    <row r="112" spans="1:3" x14ac:dyDescent="0.5">
      <c r="A112" s="2" t="s">
        <v>4</v>
      </c>
      <c r="B112" s="2">
        <v>9</v>
      </c>
      <c r="C112" s="4">
        <v>46335</v>
      </c>
    </row>
    <row r="113" spans="1:3" x14ac:dyDescent="0.5">
      <c r="A113" s="2" t="s">
        <v>5</v>
      </c>
      <c r="B113" s="2">
        <f>SUM(B111:B112)</f>
        <v>58</v>
      </c>
      <c r="C113" s="4">
        <f>SUM(C111:C112)</f>
        <v>61573</v>
      </c>
    </row>
    <row r="114" spans="1:3" s="9" customFormat="1" x14ac:dyDescent="0.5">
      <c r="A114" s="2"/>
      <c r="B114" s="2"/>
      <c r="C114" s="4"/>
    </row>
    <row r="115" spans="1:3" ht="14.35" customHeight="1" x14ac:dyDescent="0.6">
      <c r="A115" s="5" t="s">
        <v>26</v>
      </c>
      <c r="B115" s="5"/>
      <c r="C115" s="5"/>
    </row>
    <row r="116" spans="1:3" x14ac:dyDescent="0.5">
      <c r="A116" s="3"/>
      <c r="B116" s="3" t="s">
        <v>1</v>
      </c>
      <c r="C116" s="3" t="s">
        <v>2</v>
      </c>
    </row>
    <row r="117" spans="1:3" x14ac:dyDescent="0.5">
      <c r="A117" s="2" t="s">
        <v>3</v>
      </c>
      <c r="B117" s="2">
        <v>8</v>
      </c>
      <c r="C117" s="2">
        <v>135</v>
      </c>
    </row>
    <row r="118" spans="1:3" x14ac:dyDescent="0.5">
      <c r="A118" s="2" t="s">
        <v>4</v>
      </c>
      <c r="B118" s="2">
        <v>12</v>
      </c>
      <c r="C118" s="4">
        <v>17018</v>
      </c>
    </row>
    <row r="119" spans="1:3" x14ac:dyDescent="0.5">
      <c r="A119" s="2" t="s">
        <v>16</v>
      </c>
      <c r="B119" s="2">
        <v>3</v>
      </c>
      <c r="C119" s="4">
        <v>23601</v>
      </c>
    </row>
    <row r="120" spans="1:3" s="9" customFormat="1" x14ac:dyDescent="0.5">
      <c r="A120" s="2" t="s">
        <v>27</v>
      </c>
      <c r="B120" s="2">
        <v>1</v>
      </c>
      <c r="C120" s="2">
        <v>17</v>
      </c>
    </row>
    <row r="121" spans="1:3" x14ac:dyDescent="0.5">
      <c r="A121" s="2" t="s">
        <v>5</v>
      </c>
      <c r="B121" s="2">
        <f>SUM(B117:B119)</f>
        <v>23</v>
      </c>
      <c r="C121" s="4">
        <f>SUM(C117:C119)</f>
        <v>40754</v>
      </c>
    </row>
    <row r="122" spans="1:3" s="9" customFormat="1" x14ac:dyDescent="0.5">
      <c r="A122" s="2"/>
      <c r="B122" s="2"/>
      <c r="C122" s="4"/>
    </row>
    <row r="123" spans="1:3" ht="14.35" customHeight="1" x14ac:dyDescent="0.6">
      <c r="A123" s="5" t="s">
        <v>28</v>
      </c>
      <c r="B123" s="5"/>
      <c r="C123" s="5"/>
    </row>
    <row r="124" spans="1:3" x14ac:dyDescent="0.5">
      <c r="A124" s="3"/>
      <c r="B124" s="3" t="s">
        <v>1</v>
      </c>
      <c r="C124" s="3" t="s">
        <v>2</v>
      </c>
    </row>
    <row r="125" spans="1:3" x14ac:dyDescent="0.5">
      <c r="A125" s="2" t="s">
        <v>3</v>
      </c>
      <c r="B125" s="4">
        <v>1400</v>
      </c>
      <c r="C125" s="4">
        <v>173653</v>
      </c>
    </row>
    <row r="126" spans="1:3" x14ac:dyDescent="0.5">
      <c r="A126" s="2" t="s">
        <v>4</v>
      </c>
      <c r="B126" s="2">
        <v>190</v>
      </c>
      <c r="C126" s="4">
        <v>172407</v>
      </c>
    </row>
    <row r="127" spans="1:3" x14ac:dyDescent="0.5">
      <c r="A127" s="2" t="s">
        <v>5</v>
      </c>
      <c r="B127" s="4">
        <f>SUM(B125:B126)</f>
        <v>1590</v>
      </c>
      <c r="C127" s="4">
        <f>SUM(C125:C126)</f>
        <v>346060</v>
      </c>
    </row>
    <row r="128" spans="1:3" s="9" customFormat="1" x14ac:dyDescent="0.5">
      <c r="A128" s="2"/>
      <c r="B128" s="4"/>
      <c r="C128" s="4"/>
    </row>
    <row r="129" spans="1:3" x14ac:dyDescent="0.5">
      <c r="A129" s="3" t="s">
        <v>29</v>
      </c>
      <c r="B129" s="4">
        <v>13105</v>
      </c>
      <c r="C129" s="4">
        <f>SUM(C2:C127)/2</f>
        <v>4092424.5</v>
      </c>
    </row>
    <row r="131" spans="1:3" ht="14.35" customHeight="1" x14ac:dyDescent="0.5">
      <c r="A131" s="8"/>
      <c r="B131" s="8"/>
    </row>
    <row r="132" spans="1:3" ht="14.35" customHeight="1" x14ac:dyDescent="0.5">
      <c r="A132" s="8"/>
      <c r="B132" s="8"/>
    </row>
    <row r="133" spans="1:3" x14ac:dyDescent="0.5">
      <c r="B133" s="4"/>
    </row>
    <row r="134" spans="1:3" x14ac:dyDescent="0.5">
      <c r="B134" s="4"/>
    </row>
    <row r="135" spans="1:3" ht="14.7" thickBot="1" x14ac:dyDescent="0.55000000000000004">
      <c r="B135" s="4"/>
    </row>
    <row r="136" spans="1:3" ht="14.7" thickTop="1" x14ac:dyDescent="0.5">
      <c r="A136" s="6"/>
      <c r="B136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Kudrycz</dc:creator>
  <cp:lastModifiedBy>Nick Kudrycz</cp:lastModifiedBy>
  <dcterms:created xsi:type="dcterms:W3CDTF">2017-08-04T20:08:43Z</dcterms:created>
  <dcterms:modified xsi:type="dcterms:W3CDTF">2017-08-08T17:06:21Z</dcterms:modified>
</cp:coreProperties>
</file>